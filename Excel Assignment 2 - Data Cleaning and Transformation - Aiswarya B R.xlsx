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iswarya BR\Downloads\"/>
    </mc:Choice>
  </mc:AlternateContent>
  <xr:revisionPtr revIDLastSave="0" documentId="8_{A2F10D86-005D-41ED-97AD-62184A37288A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<sst xmlns="http://schemas.openxmlformats.org/spreadsheetml/2006/main" count="152" uniqueCount="122">
  <si>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</si>
  <si>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</si>
  <si>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</si>
  <si>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</si>
  <si>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</si>
  <si>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</si>
  <si>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</si>
  <si>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</si>
  <si>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</si>
  <si>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</si>
  <si>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</si>
  <si>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</si>
  <si>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</si>
  <si>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</si>
  <si>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</si>
  <si>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</si>
  <si>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</si>
  <si>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</si>
  <si>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</si>
  <si>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</si>
  <si>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</si>
  <si>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</si>
  <si>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</si>
  <si>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</si>
  <si>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</si>
  <si>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</si>
  <si>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</si>
  <si>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</si>
  <si>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</si>
  <si>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</si>
  <si>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</si>
  <si>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</si>
  <si>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</si>
  <si>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</si>
  <si>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</si>
  <si>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</si>
  <si>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</si>
  <si>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</si>
  <si>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</si>
  <si>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</si>
  <si>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</si>
  <si>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</si>
  <si>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</si>
  <si>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</si>
  <si>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</si>
  <si>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</si>
  <si>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</si>
  <si>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</si>
  <si>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</si>
  <si>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</si>
  <si>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</si>
  <si>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</si>
  <si>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</si>
  <si>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</si>
  <si>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</si>
  <si>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</si>
  <si>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</si>
  <si>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</si>
  <si>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</si>
  <si>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</si>
  <si>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</si>
  <si>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</si>
  <si>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</si>
  <si>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</si>
  <si>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</si>
  <si>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</si>
  <si>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</si>
  <si>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</si>
  <si>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</si>
  <si>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</si>
  <si>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</si>
  <si>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</si>
  <si>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</si>
  <si>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</si>
  <si>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</si>
  <si>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</si>
  <si>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</si>
  <si>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</si>
  <si>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</si>
  <si>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</si>
  <si>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</si>
  <si>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</si>
  <si>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</si>
  <si>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</si>
  <si>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</si>
  <si>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</si>
  <si>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</si>
  <si>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</si>
  <si>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</si>
  <si>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</si>
  <si>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</si>
  <si>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</si>
  <si>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</si>
  <si>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</si>
  <si>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</si>
  <si>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</si>
  <si>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</si>
  <si>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</si>
  <si>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</si>
  <si>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</si>
  <si>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</si>
  <si>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</si>
  <si>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</si>
  <si>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</si>
  <si>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</si>
  <si>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</si>
  <si>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</si>
  <si>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</si>
  <si>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</si>
  <si>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</si>
  <si>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</si>
  <si>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</si>
  <si>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</si>
  <si>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</si>
  <si>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</si>
  <si>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Check if Price Present or not</t>
  </si>
  <si>
    <t>Average of Category for missing price</t>
  </si>
  <si>
    <t>Missing Category</t>
  </si>
  <si>
    <t>Proper Product Name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</si>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</sst>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409]* #,##0.00_ ;_-[$$-409]* \-#,##0.00\ ;_-[$$-409]* &quot;-&quot;??_ ;_-@_ "/>
    <numFmt numFmtId="166" formatCode="[$-F800]dddd\,\ mmmm\ dd\,\ yyyy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7" fillId="5" borderId="0" xfId="0" applyFont="1" applyFill="1" applyAlignment="1">
      <alignment horizontal="center" wrapText="1"/>
    </xf>
    <xf numFmtId="0" fontId="8" fillId="4" borderId="0" xfId="0" applyFont="1" applyFill="1" applyAlignment="1">
      <alignment wrapText="1"/>
    </xf>
    <xf numFmtId="165" fontId="7" fillId="2" borderId="0" xfId="0" applyNumberFormat="1" applyFont="1" applyFill="1" applyAlignment="1">
      <alignment horizontal="center" wrapText="1"/>
    </xf>
    <xf numFmtId="165" fontId="5" fillId="0" borderId="0" xfId="0" applyNumberFormat="1" applyFont="1" applyAlignment="1">
      <alignment wrapText="1"/>
    </xf>
    <xf numFmtId="165" fontId="5" fillId="3" borderId="0" xfId="0" applyNumberFormat="1" applyFont="1" applyFill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6" fontId="8" fillId="4" borderId="0" xfId="0" applyNumberFormat="1" applyFont="1" applyFill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6" workbookViewId="0">
      <selection activeCell="J18" sqref="J18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5"/>
  <sheetViews>
    <sheetView tabSelected="1" topLeftCell="E1" workbookViewId="0">
      <selection activeCell="N31" sqref="N31"/>
    </sheetView>
  </sheetViews>
  <sheetFormatPr defaultColWidth="17.7265625" defaultRowHeight="32.5" customHeight="1" x14ac:dyDescent="0.25"/>
  <cols>
    <col min="1" max="3" width="17.7265625" style="8"/>
    <col min="4" max="4" width="17.7265625" style="17"/>
    <col min="5" max="7" width="17.7265625" style="8"/>
    <col min="8" max="8" width="19.1796875" style="8" customWidth="1"/>
    <col min="9" max="10" width="17.7265625" style="8"/>
    <col min="11" max="11" width="17.7265625" style="19"/>
    <col min="12" max="16384" width="17.7265625" style="8"/>
  </cols>
  <sheetData>
    <row r="1" spans="1:16" ht="32.5" customHeight="1" x14ac:dyDescent="0.3">
      <c r="A1" s="7" t="s">
        <v>19</v>
      </c>
      <c r="B1" s="7" t="s">
        <v>20</v>
      </c>
      <c r="C1" s="7" t="s">
        <v>21</v>
      </c>
      <c r="D1" s="13" t="s">
        <v>22</v>
      </c>
      <c r="E1" s="7" t="s">
        <v>23</v>
      </c>
      <c r="F1" s="7" t="s">
        <v>24</v>
      </c>
      <c r="G1" s="11" t="s">
        <v>115</v>
      </c>
      <c r="H1" s="11" t="s">
        <v>116</v>
      </c>
      <c r="I1" s="12" t="s">
        <v>117</v>
      </c>
      <c r="J1" s="12" t="s">
        <v>118</v>
      </c>
      <c r="K1" s="18" t="s">
        <v>119</v>
      </c>
      <c r="L1" s="12" t="s">
        <v>120</v>
      </c>
      <c r="M1" s="12" t="s">
        <v>121</v>
      </c>
    </row>
    <row r="2" spans="1:16" ht="32.5" customHeight="1" x14ac:dyDescent="0.25">
      <c r="A2" s="9" t="s">
        <v>25</v>
      </c>
      <c r="B2" s="9" t="s">
        <v>26</v>
      </c>
      <c r="C2" s="9" t="s">
        <v>27</v>
      </c>
      <c r="D2" s="14">
        <v>1000</v>
      </c>
      <c r="E2" s="9">
        <v>30</v>
      </c>
      <c r="F2" s="9" t="s">
        <v>28</v>
      </c>
      <c r="G2" s="8" t="str">
        <f>IF(ISBLANK(D2),"Missing Price","Price Present")</f>
        <v>Price Present</v>
      </c>
      <c r="H2" s="8">
        <f>IF(ISBLANK(D2),AVERAGEIF($F$2:$F$35,F2,$D$2:$D$35),D2)</f>
        <v>1000</v>
      </c>
      <c r="I2" s="8" t="str">
        <f>IF(F2="","Unknown",F2)</f>
        <v>Electronics</v>
      </c>
      <c r="J2" s="8" t="str">
        <f>PROPER(B2)</f>
        <v>Laptop</v>
      </c>
      <c r="K2" s="19" t="str">
        <f>LEFT(A2,6)&amp;"-2026"</f>
        <v>28-JAN-2026</v>
      </c>
      <c r="L2" s="8" t="str">
        <f>RIGHT(A2,2)</f>
        <v>US</v>
      </c>
      <c r="M2" s="8" t="str">
        <f>C2&amp;"-"&amp;B2</f>
        <v>Dell-laptop</v>
      </c>
    </row>
    <row r="3" spans="1:16" ht="32.5" customHeight="1" x14ac:dyDescent="0.25">
      <c r="A3" s="10" t="s">
        <v>29</v>
      </c>
      <c r="B3" s="10" t="s">
        <v>30</v>
      </c>
      <c r="C3" s="10" t="s">
        <v>31</v>
      </c>
      <c r="D3" s="15">
        <v>80</v>
      </c>
      <c r="E3" s="10">
        <v>15</v>
      </c>
      <c r="F3" s="10" t="s">
        <v>32</v>
      </c>
      <c r="G3" s="8" t="str">
        <f>IF(ISBLANK(D3),"Missing Price","Price Present")</f>
        <v>Price Present</v>
      </c>
      <c r="H3" s="8">
        <f>IF(ISBLANK(D3),AVERAGEIF($F$2:$F$35,F3,$D$2:$D$35),D3)</f>
        <v>80</v>
      </c>
      <c r="I3" s="8" t="str">
        <f>IF(F3="","Unknown",F3)</f>
        <v>Fashion</v>
      </c>
      <c r="J3" s="8" t="str">
        <f>PROPER(B3)</f>
        <v>Sneakers</v>
      </c>
      <c r="K3" s="19" t="str">
        <f t="shared" ref="K3:K35" si="0">LEFT(A3,6)&amp;"-2026"</f>
        <v>15-FEB-2026</v>
      </c>
      <c r="L3" s="8" t="str">
        <f t="shared" ref="L3:L35" si="1">RIGHT(A3,2)</f>
        <v>US</v>
      </c>
      <c r="M3" s="8" t="str">
        <f t="shared" ref="M3:M35" si="2">C3&amp;"-"&amp;B3</f>
        <v>Nike-Sneakers</v>
      </c>
      <c r="N3" s="9"/>
      <c r="O3" s="9"/>
      <c r="P3" s="9"/>
    </row>
    <row r="4" spans="1:16" ht="32.5" customHeight="1" x14ac:dyDescent="0.25">
      <c r="A4" s="9" t="s">
        <v>33</v>
      </c>
      <c r="B4" s="9" t="s">
        <v>34</v>
      </c>
      <c r="C4" s="9" t="s">
        <v>35</v>
      </c>
      <c r="D4" s="14">
        <v>130</v>
      </c>
      <c r="E4" s="9">
        <v>40</v>
      </c>
      <c r="F4" s="9" t="s">
        <v>36</v>
      </c>
      <c r="G4" s="8" t="str">
        <f>IF(ISBLANK(D4),"Missing Price","Price Present")</f>
        <v>Price Present</v>
      </c>
      <c r="H4" s="8">
        <f>IF(ISBLANK(D4),AVERAGEIF($F$2:$F$35,F4,$D$2:$D$35),D4)</f>
        <v>130</v>
      </c>
      <c r="I4" s="8" t="str">
        <f>IF(F4="","Unknown",F4)</f>
        <v>Kitchen</v>
      </c>
      <c r="J4" s="8" t="str">
        <f>PROPER(B4)</f>
        <v>Coffee Maker</v>
      </c>
      <c r="K4" s="19" t="str">
        <f t="shared" si="0"/>
        <v>03-MAR-2026</v>
      </c>
      <c r="L4" s="8" t="str">
        <f t="shared" si="1"/>
        <v>US</v>
      </c>
      <c r="M4" s="8" t="str">
        <f t="shared" si="2"/>
        <v>Keurig-Coffee Maker</v>
      </c>
      <c r="N4" s="9"/>
      <c r="O4" s="9"/>
      <c r="P4" s="9"/>
    </row>
    <row r="5" spans="1:16" ht="32.5" customHeight="1" x14ac:dyDescent="0.25">
      <c r="A5" s="10" t="s">
        <v>37</v>
      </c>
      <c r="B5" s="10" t="s">
        <v>38</v>
      </c>
      <c r="C5" s="10" t="s">
        <v>39</v>
      </c>
      <c r="D5" s="15">
        <v>900</v>
      </c>
      <c r="E5" s="10">
        <v>25</v>
      </c>
      <c r="F5" s="10" t="s">
        <v>28</v>
      </c>
      <c r="G5" s="8" t="str">
        <f>IF(ISBLANK(D5),"Missing Price","Price Present")</f>
        <v>Price Present</v>
      </c>
      <c r="H5" s="8">
        <f>IF(ISBLANK(D5),AVERAGEIF($F$2:$F$35,F5,$D$2:$D$35),D5)</f>
        <v>900</v>
      </c>
      <c r="I5" s="8" t="str">
        <f>IF(F5="","Unknown",F5)</f>
        <v>Electronics</v>
      </c>
      <c r="J5" s="8" t="str">
        <f>PROPER(B5)</f>
        <v>Smartphone</v>
      </c>
      <c r="K5" s="19" t="str">
        <f t="shared" si="0"/>
        <v>11-APR-2026</v>
      </c>
      <c r="L5" s="8" t="str">
        <f t="shared" si="1"/>
        <v>US</v>
      </c>
      <c r="M5" s="8" t="str">
        <f t="shared" si="2"/>
        <v>Samsung-smartphone</v>
      </c>
      <c r="N5" s="9"/>
      <c r="O5" s="9"/>
      <c r="P5" s="9"/>
    </row>
    <row r="6" spans="1:16" ht="32.5" customHeight="1" x14ac:dyDescent="0.25">
      <c r="A6" s="9" t="s">
        <v>40</v>
      </c>
      <c r="B6" s="9" t="s">
        <v>41</v>
      </c>
      <c r="C6" s="9" t="s">
        <v>42</v>
      </c>
      <c r="D6" s="14">
        <v>70</v>
      </c>
      <c r="E6" s="9">
        <v>20</v>
      </c>
      <c r="F6" s="9"/>
      <c r="G6" s="8" t="str">
        <f>IF(ISBLANK(D6),"Missing Price","Price Present")</f>
        <v>Price Present</v>
      </c>
      <c r="H6" s="8">
        <f>IF(ISBLANK(D6),AVERAGEIF($F$2:$F$35,F6,$D$2:$D$35),D6)</f>
        <v>70</v>
      </c>
      <c r="I6" s="8" t="str">
        <f>IF(F6="","Unknown",F6)</f>
        <v>Unknown</v>
      </c>
      <c r="J6" s="8" t="str">
        <f>PROPER(B6)</f>
        <v>Backpack</v>
      </c>
      <c r="K6" s="19" t="str">
        <f t="shared" si="0"/>
        <v>22-MAY-2026</v>
      </c>
      <c r="L6" s="8" t="str">
        <f t="shared" si="1"/>
        <v>US</v>
      </c>
      <c r="M6" s="8" t="str">
        <f t="shared" si="2"/>
        <v>North Face-Backpack</v>
      </c>
    </row>
    <row r="7" spans="1:16" ht="32.5" customHeight="1" x14ac:dyDescent="0.25">
      <c r="A7" s="10" t="s">
        <v>43</v>
      </c>
      <c r="B7" s="10" t="s">
        <v>44</v>
      </c>
      <c r="C7" s="10" t="s">
        <v>45</v>
      </c>
      <c r="D7" s="15"/>
      <c r="E7" s="10">
        <v>45</v>
      </c>
      <c r="F7" s="10" t="s">
        <v>28</v>
      </c>
      <c r="G7" s="8" t="str">
        <f>IF(ISBLANK(D7),"Missing Price","Price Present")</f>
        <v>Missing Price</v>
      </c>
      <c r="H7" s="8">
        <f>IF(ISBLANK(D7),AVERAGEIF($F$2:$F$35,F7,$D$2:$D$35),D7)</f>
        <v>592.72727272727275</v>
      </c>
      <c r="I7" s="8" t="str">
        <f>IF(F7="","Unknown",F7)</f>
        <v>Electronics</v>
      </c>
      <c r="J7" s="8" t="str">
        <f>PROPER(B7)</f>
        <v>Headphones</v>
      </c>
      <c r="K7" s="19" t="str">
        <f t="shared" si="0"/>
        <v>07-JUN-2026</v>
      </c>
      <c r="L7" s="8" t="str">
        <f t="shared" si="1"/>
        <v>UK</v>
      </c>
      <c r="M7" s="8" t="str">
        <f t="shared" si="2"/>
        <v>Sony-Headphones</v>
      </c>
    </row>
    <row r="8" spans="1:16" ht="32.5" customHeight="1" x14ac:dyDescent="0.25">
      <c r="A8" s="9" t="s">
        <v>46</v>
      </c>
      <c r="B8" s="9" t="s">
        <v>47</v>
      </c>
      <c r="C8" s="9" t="s">
        <v>48</v>
      </c>
      <c r="D8" s="14">
        <v>30</v>
      </c>
      <c r="E8" s="9">
        <v>5</v>
      </c>
      <c r="F8" s="9" t="s">
        <v>32</v>
      </c>
      <c r="G8" s="8" t="str">
        <f>IF(ISBLANK(D8),"Missing Price","Price Present")</f>
        <v>Price Present</v>
      </c>
      <c r="H8" s="8">
        <f>IF(ISBLANK(D8),AVERAGEIF($F$2:$F$35,F8,$D$2:$D$35),D8)</f>
        <v>30</v>
      </c>
      <c r="I8" s="8" t="str">
        <f>IF(F8="","Unknown",F8)</f>
        <v>Fashion</v>
      </c>
      <c r="J8" s="8" t="str">
        <f>PROPER(B8)</f>
        <v>T-Shirt</v>
      </c>
      <c r="K8" s="19" t="str">
        <f t="shared" si="0"/>
        <v>19-JUL-2026</v>
      </c>
      <c r="L8" s="8" t="str">
        <f t="shared" si="1"/>
        <v>UK</v>
      </c>
      <c r="M8" s="8" t="str">
        <f t="shared" si="2"/>
        <v>Adidas-T-shirt</v>
      </c>
    </row>
    <row r="9" spans="1:16" ht="32.5" customHeight="1" x14ac:dyDescent="0.25">
      <c r="A9" s="10" t="s">
        <v>49</v>
      </c>
      <c r="B9" s="10" t="s">
        <v>50</v>
      </c>
      <c r="C9" s="10" t="s">
        <v>51</v>
      </c>
      <c r="D9" s="15">
        <v>90</v>
      </c>
      <c r="E9" s="10">
        <v>35</v>
      </c>
      <c r="F9" s="10" t="s">
        <v>36</v>
      </c>
      <c r="G9" s="8" t="str">
        <f>IF(ISBLANK(D9),"Missing Price","Price Present")</f>
        <v>Price Present</v>
      </c>
      <c r="H9" s="8">
        <f>IF(ISBLANK(D9),AVERAGEIF($F$2:$F$35,F9,$D$2:$D$35),D9)</f>
        <v>90</v>
      </c>
      <c r="I9" s="8" t="str">
        <f>IF(F9="","Unknown",F9)</f>
        <v>Kitchen</v>
      </c>
      <c r="J9" s="8" t="str">
        <f>PROPER(B9)</f>
        <v>Blender</v>
      </c>
      <c r="K9" s="19" t="str">
        <f t="shared" si="0"/>
        <v>23-AUG-2026</v>
      </c>
      <c r="L9" s="8" t="str">
        <f t="shared" si="1"/>
        <v>UK</v>
      </c>
      <c r="M9" s="8" t="str">
        <f t="shared" si="2"/>
        <v>Ninja-Blender</v>
      </c>
    </row>
    <row r="10" spans="1:16" ht="32.5" customHeight="1" x14ac:dyDescent="0.25">
      <c r="A10" s="9" t="s">
        <v>52</v>
      </c>
      <c r="B10" s="9" t="s">
        <v>53</v>
      </c>
      <c r="C10" s="9" t="s">
        <v>54</v>
      </c>
      <c r="D10" s="14">
        <v>500</v>
      </c>
      <c r="E10" s="9">
        <v>50</v>
      </c>
      <c r="F10" s="9" t="s">
        <v>28</v>
      </c>
      <c r="G10" s="8" t="str">
        <f>IF(ISBLANK(D10),"Missing Price","Price Present")</f>
        <v>Price Present</v>
      </c>
      <c r="H10" s="8">
        <f>IF(ISBLANK(D10),AVERAGEIF($F$2:$F$35,F10,$D$2:$D$35),D10)</f>
        <v>500</v>
      </c>
      <c r="I10" s="8" t="str">
        <f>IF(F10="","Unknown",F10)</f>
        <v>Electronics</v>
      </c>
      <c r="J10" s="8" t="str">
        <f>PROPER(B10)</f>
        <v>Tablet</v>
      </c>
      <c r="K10" s="19" t="str">
        <f t="shared" si="0"/>
        <v>05-SEP-2026</v>
      </c>
      <c r="L10" s="8" t="str">
        <f t="shared" si="1"/>
        <v>UK</v>
      </c>
      <c r="M10" s="8" t="str">
        <f t="shared" si="2"/>
        <v>Apple-Tablet</v>
      </c>
    </row>
    <row r="11" spans="1:16" ht="32.5" customHeight="1" x14ac:dyDescent="0.25">
      <c r="A11" s="10" t="s">
        <v>55</v>
      </c>
      <c r="B11" s="10" t="s">
        <v>56</v>
      </c>
      <c r="C11" s="10" t="s">
        <v>57</v>
      </c>
      <c r="D11" s="15">
        <v>130</v>
      </c>
      <c r="E11" s="10">
        <v>10</v>
      </c>
      <c r="F11" s="10" t="s">
        <v>58</v>
      </c>
      <c r="G11" s="8" t="str">
        <f>IF(ISBLANK(D11),"Missing Price","Price Present")</f>
        <v>Price Present</v>
      </c>
      <c r="H11" s="8">
        <f>IF(ISBLANK(D11),AVERAGEIF($F$2:$F$35,F11,$D$2:$D$35),D11)</f>
        <v>130</v>
      </c>
      <c r="I11" s="8" t="str">
        <f>IF(F11="","Unknown",F11)</f>
        <v>Outdoor</v>
      </c>
      <c r="J11" s="8" t="str">
        <f>PROPER(B11)</f>
        <v>Hiking Boots</v>
      </c>
      <c r="K11" s="19" t="str">
        <f t="shared" si="0"/>
        <v>14-OCT-2026</v>
      </c>
      <c r="L11" s="8" t="str">
        <f t="shared" si="1"/>
        <v>UK</v>
      </c>
      <c r="M11" s="8" t="str">
        <f t="shared" si="2"/>
        <v>Timberland-Hiking Boots</v>
      </c>
    </row>
    <row r="12" spans="1:16" ht="32.5" customHeight="1" x14ac:dyDescent="0.25">
      <c r="A12" s="9" t="s">
        <v>59</v>
      </c>
      <c r="B12" s="9" t="s">
        <v>60</v>
      </c>
      <c r="C12" s="9" t="s">
        <v>61</v>
      </c>
      <c r="D12" s="14">
        <v>950</v>
      </c>
      <c r="E12" s="9">
        <v>25</v>
      </c>
      <c r="F12" s="9" t="s">
        <v>28</v>
      </c>
      <c r="G12" s="8" t="str">
        <f>IF(ISBLANK(D12),"Missing Price","Price Present")</f>
        <v>Price Present</v>
      </c>
      <c r="H12" s="8">
        <f>IF(ISBLANK(D12),AVERAGEIF($F$2:$F$35,F12,$D$2:$D$35),D12)</f>
        <v>950</v>
      </c>
      <c r="I12" s="8" t="str">
        <f>IF(F12="","Unknown",F12)</f>
        <v>Electronics</v>
      </c>
      <c r="J12" s="8" t="str">
        <f>PROPER(B12)</f>
        <v>Laptop</v>
      </c>
      <c r="K12" s="19" t="str">
        <f t="shared" si="0"/>
        <v>17-JUN-2026</v>
      </c>
      <c r="L12" s="8" t="str">
        <f t="shared" si="1"/>
        <v>IN</v>
      </c>
      <c r="M12" s="8" t="str">
        <f t="shared" si="2"/>
        <v>HP-Laptop</v>
      </c>
    </row>
    <row r="13" spans="1:16" ht="32.5" customHeight="1" x14ac:dyDescent="0.25">
      <c r="A13" s="10" t="s">
        <v>62</v>
      </c>
      <c r="B13" s="10" t="s">
        <v>30</v>
      </c>
      <c r="C13" s="10" t="s">
        <v>48</v>
      </c>
      <c r="D13" s="15">
        <v>90</v>
      </c>
      <c r="E13" s="10">
        <v>40</v>
      </c>
      <c r="F13" s="10"/>
      <c r="G13" s="8" t="str">
        <f>IF(ISBLANK(D13),"Missing Price","Price Present")</f>
        <v>Price Present</v>
      </c>
      <c r="H13" s="8">
        <f>IF(ISBLANK(D13),AVERAGEIF($F$2:$F$35,F13,$D$2:$D$35),D13)</f>
        <v>90</v>
      </c>
      <c r="I13" s="8" t="str">
        <f>IF(F13="","Unknown",F13)</f>
        <v>Unknown</v>
      </c>
      <c r="J13" s="8" t="str">
        <f>PROPER(B13)</f>
        <v>Sneakers</v>
      </c>
      <c r="K13" s="19" t="str">
        <f t="shared" si="0"/>
        <v>25-NOV-2026</v>
      </c>
      <c r="L13" s="8" t="str">
        <f t="shared" si="1"/>
        <v>AU</v>
      </c>
      <c r="M13" s="8" t="str">
        <f t="shared" si="2"/>
        <v>Adidas-Sneakers</v>
      </c>
    </row>
    <row r="14" spans="1:16" ht="32.5" customHeight="1" x14ac:dyDescent="0.25">
      <c r="A14" s="9" t="s">
        <v>63</v>
      </c>
      <c r="B14" s="9" t="s">
        <v>34</v>
      </c>
      <c r="C14" s="9" t="s">
        <v>64</v>
      </c>
      <c r="D14" s="14">
        <v>120</v>
      </c>
      <c r="E14" s="9">
        <v>35</v>
      </c>
      <c r="F14" s="9"/>
      <c r="G14" s="8" t="str">
        <f>IF(ISBLANK(D14),"Missing Price","Price Present")</f>
        <v>Price Present</v>
      </c>
      <c r="H14" s="8">
        <f>IF(ISBLANK(D14),AVERAGEIF($F$2:$F$35,F14,$D$2:$D$35),D14)</f>
        <v>120</v>
      </c>
      <c r="I14" s="8" t="str">
        <f>IF(F14="","Unknown",F14)</f>
        <v>Unknown</v>
      </c>
      <c r="J14" s="8" t="str">
        <f>PROPER(B14)</f>
        <v>Coffee Maker</v>
      </c>
      <c r="K14" s="19" t="str">
        <f t="shared" si="0"/>
        <v>08-DEC-2026</v>
      </c>
      <c r="L14" s="8" t="str">
        <f t="shared" si="1"/>
        <v>DE</v>
      </c>
      <c r="M14" s="8" t="str">
        <f t="shared" si="2"/>
        <v>Nespresso-Coffee Maker</v>
      </c>
    </row>
    <row r="15" spans="1:16" ht="32.5" customHeight="1" x14ac:dyDescent="0.25">
      <c r="A15" s="10" t="s">
        <v>65</v>
      </c>
      <c r="B15" s="10" t="s">
        <v>66</v>
      </c>
      <c r="C15" s="10" t="s">
        <v>67</v>
      </c>
      <c r="D15" s="15">
        <v>150</v>
      </c>
      <c r="E15" s="10">
        <v>15</v>
      </c>
      <c r="F15" s="10" t="s">
        <v>28</v>
      </c>
      <c r="G15" s="8" t="str">
        <f>IF(ISBLANK(D15),"Missing Price","Price Present")</f>
        <v>Price Present</v>
      </c>
      <c r="H15" s="8">
        <f>IF(ISBLANK(D15),AVERAGEIF($F$2:$F$35,F15,$D$2:$D$35),D15)</f>
        <v>150</v>
      </c>
      <c r="I15" s="8" t="str">
        <f>IF(F15="","Unknown",F15)</f>
        <v>Electronics</v>
      </c>
      <c r="J15" s="8" t="str">
        <f>PROPER(B15)</f>
        <v>Smartwatch</v>
      </c>
      <c r="K15" s="19" t="str">
        <f t="shared" si="0"/>
        <v>18-FEB-2026</v>
      </c>
      <c r="L15" s="8" t="str">
        <f t="shared" si="1"/>
        <v>CA</v>
      </c>
      <c r="M15" s="8" t="str">
        <f t="shared" si="2"/>
        <v>Fitbit-Smartwatch</v>
      </c>
    </row>
    <row r="16" spans="1:16" ht="32.5" customHeight="1" x14ac:dyDescent="0.25">
      <c r="A16" s="9" t="s">
        <v>68</v>
      </c>
      <c r="B16" s="9" t="s">
        <v>69</v>
      </c>
      <c r="C16" s="9" t="s">
        <v>70</v>
      </c>
      <c r="D16" s="14">
        <v>250</v>
      </c>
      <c r="E16" s="9">
        <v>20</v>
      </c>
      <c r="F16" s="9" t="s">
        <v>28</v>
      </c>
      <c r="G16" s="8" t="str">
        <f>IF(ISBLANK(D16),"Missing Price","Price Present")</f>
        <v>Price Present</v>
      </c>
      <c r="H16" s="8">
        <f>IF(ISBLANK(D16),AVERAGEIF($F$2:$F$35,F16,$D$2:$D$35),D16)</f>
        <v>250</v>
      </c>
      <c r="I16" s="8" t="str">
        <f>IF(F16="","Unknown",F16)</f>
        <v>Electronics</v>
      </c>
      <c r="J16" s="8" t="str">
        <f>PROPER(B16)</f>
        <v>Headphones</v>
      </c>
      <c r="K16" s="19" t="str">
        <f t="shared" si="0"/>
        <v>16-APR-2026</v>
      </c>
      <c r="L16" s="8" t="str">
        <f t="shared" si="1"/>
        <v>ES</v>
      </c>
      <c r="M16" s="8" t="str">
        <f t="shared" si="2"/>
        <v>Bose-headphones</v>
      </c>
    </row>
    <row r="17" spans="1:13" ht="32.5" customHeight="1" x14ac:dyDescent="0.25">
      <c r="A17" s="10" t="s">
        <v>71</v>
      </c>
      <c r="B17" s="10" t="s">
        <v>72</v>
      </c>
      <c r="C17" s="10" t="s">
        <v>73</v>
      </c>
      <c r="D17" s="15">
        <v>50</v>
      </c>
      <c r="E17" s="10">
        <v>35</v>
      </c>
      <c r="F17" s="10" t="s">
        <v>74</v>
      </c>
      <c r="G17" s="8" t="str">
        <f>IF(ISBLANK(D17),"Missing Price","Price Present")</f>
        <v>Price Present</v>
      </c>
      <c r="H17" s="8">
        <f>IF(ISBLANK(D17),AVERAGEIF($F$2:$F$35,F17,$D$2:$D$35),D17)</f>
        <v>50</v>
      </c>
      <c r="I17" s="8" t="str">
        <f>IF(F17="","Unknown",F17)</f>
        <v>Accessories</v>
      </c>
      <c r="J17" s="8" t="str">
        <f>PROPER(B17)</f>
        <v>Laptop Bag</v>
      </c>
      <c r="K17" s="19" t="str">
        <f t="shared" si="0"/>
        <v>21-AUG-2026</v>
      </c>
      <c r="L17" s="8" t="str">
        <f t="shared" si="1"/>
        <v>CA</v>
      </c>
      <c r="M17" s="8" t="str">
        <f t="shared" si="2"/>
        <v>Samsonite-Laptop Bag</v>
      </c>
    </row>
    <row r="18" spans="1:13" ht="32.5" customHeight="1" x14ac:dyDescent="0.25">
      <c r="A18" s="9" t="s">
        <v>75</v>
      </c>
      <c r="B18" s="9" t="s">
        <v>66</v>
      </c>
      <c r="C18" s="9" t="s">
        <v>76</v>
      </c>
      <c r="D18" s="14">
        <v>160</v>
      </c>
      <c r="E18" s="9">
        <v>15</v>
      </c>
      <c r="F18" s="9" t="s">
        <v>28</v>
      </c>
      <c r="G18" s="8" t="str">
        <f>IF(ISBLANK(D18),"Missing Price","Price Present")</f>
        <v>Price Present</v>
      </c>
      <c r="H18" s="8">
        <f>IF(ISBLANK(D18),AVERAGEIF($F$2:$F$35,F18,$D$2:$D$35),D18)</f>
        <v>160</v>
      </c>
      <c r="I18" s="8" t="str">
        <f>IF(F18="","Unknown",F18)</f>
        <v>Electronics</v>
      </c>
      <c r="J18" s="8" t="str">
        <f>PROPER(B18)</f>
        <v>Smartwatch</v>
      </c>
      <c r="K18" s="19" t="str">
        <f t="shared" si="0"/>
        <v>20-AUG-2026</v>
      </c>
      <c r="L18" s="8" t="str">
        <f t="shared" si="1"/>
        <v>CN</v>
      </c>
      <c r="M18" s="8" t="str">
        <f t="shared" si="2"/>
        <v>Huawei-Smartwatch</v>
      </c>
    </row>
    <row r="19" spans="1:13" ht="32.5" customHeight="1" x14ac:dyDescent="0.25">
      <c r="A19" s="10" t="s">
        <v>77</v>
      </c>
      <c r="B19" s="10" t="s">
        <v>26</v>
      </c>
      <c r="C19" s="10" t="s">
        <v>78</v>
      </c>
      <c r="D19" s="15">
        <v>980</v>
      </c>
      <c r="E19" s="10">
        <v>10</v>
      </c>
      <c r="F19" s="10" t="s">
        <v>28</v>
      </c>
      <c r="G19" s="8" t="str">
        <f>IF(ISBLANK(D19),"Missing Price","Price Present")</f>
        <v>Price Present</v>
      </c>
      <c r="H19" s="8">
        <f>IF(ISBLANK(D19),AVERAGEIF($F$2:$F$35,F19,$D$2:$D$35),D19)</f>
        <v>980</v>
      </c>
      <c r="I19" s="8" t="str">
        <f>IF(F19="","Unknown",F19)</f>
        <v>Electronics</v>
      </c>
      <c r="J19" s="8" t="str">
        <f>PROPER(B19)</f>
        <v>Laptop</v>
      </c>
      <c r="K19" s="19" t="str">
        <f t="shared" si="0"/>
        <v>27-JAN-2026</v>
      </c>
      <c r="L19" s="8" t="str">
        <f t="shared" si="1"/>
        <v>IT</v>
      </c>
      <c r="M19" s="8" t="str">
        <f t="shared" si="2"/>
        <v>Asus-laptop</v>
      </c>
    </row>
    <row r="20" spans="1:13" ht="32.5" customHeight="1" x14ac:dyDescent="0.25">
      <c r="A20" s="9" t="s">
        <v>79</v>
      </c>
      <c r="B20" s="9" t="s">
        <v>80</v>
      </c>
      <c r="C20" s="9" t="s">
        <v>81</v>
      </c>
      <c r="D20" s="14">
        <v>150</v>
      </c>
      <c r="E20" s="9">
        <v>15</v>
      </c>
      <c r="F20" s="9" t="s">
        <v>32</v>
      </c>
      <c r="G20" s="8" t="str">
        <f>IF(ISBLANK(D20),"Missing Price","Price Present")</f>
        <v>Price Present</v>
      </c>
      <c r="H20" s="8">
        <f>IF(ISBLANK(D20),AVERAGEIF($F$2:$F$35,F20,$D$2:$D$35),D20)</f>
        <v>150</v>
      </c>
      <c r="I20" s="8" t="str">
        <f>IF(F20="","Unknown",F20)</f>
        <v>Fashion</v>
      </c>
      <c r="J20" s="8" t="str">
        <f>PROPER(B20)</f>
        <v>Sunglasses</v>
      </c>
      <c r="K20" s="19" t="str">
        <f t="shared" si="0"/>
        <v>01-MAR-2026</v>
      </c>
      <c r="L20" s="8" t="str">
        <f t="shared" si="1"/>
        <v>UK</v>
      </c>
      <c r="M20" s="8" t="str">
        <f t="shared" si="2"/>
        <v>Oakley-Sunglasses</v>
      </c>
    </row>
    <row r="21" spans="1:13" ht="32.5" customHeight="1" x14ac:dyDescent="0.25">
      <c r="A21" s="10" t="s">
        <v>82</v>
      </c>
      <c r="B21" s="10" t="s">
        <v>83</v>
      </c>
      <c r="C21" s="10" t="s">
        <v>84</v>
      </c>
      <c r="D21" s="15"/>
      <c r="E21" s="10">
        <v>10</v>
      </c>
      <c r="F21" s="10" t="s">
        <v>58</v>
      </c>
      <c r="G21" s="8" t="str">
        <f>IF(ISBLANK(D21),"Missing Price","Price Present")</f>
        <v>Missing Price</v>
      </c>
      <c r="H21" s="8">
        <f>IF(ISBLANK(D21),AVERAGEIF($F$2:$F$35,F21,$D$2:$D$35),D21)</f>
        <v>130</v>
      </c>
      <c r="I21" s="8" t="str">
        <f>IF(F21="","Unknown",F21)</f>
        <v>Outdoor</v>
      </c>
      <c r="J21" s="8" t="str">
        <f>PROPER(B21)</f>
        <v>Camping Tent</v>
      </c>
      <c r="K21" s="19" t="str">
        <f t="shared" si="0"/>
        <v>14-AUG-2026</v>
      </c>
      <c r="L21" s="8" t="str">
        <f t="shared" si="1"/>
        <v>US</v>
      </c>
      <c r="M21" s="8" t="str">
        <f t="shared" si="2"/>
        <v>Coleman-Camping Tent</v>
      </c>
    </row>
    <row r="22" spans="1:13" ht="32.5" customHeight="1" x14ac:dyDescent="0.25">
      <c r="A22" s="9" t="s">
        <v>85</v>
      </c>
      <c r="B22" s="9" t="s">
        <v>86</v>
      </c>
      <c r="C22" s="9" t="s">
        <v>87</v>
      </c>
      <c r="D22" s="14">
        <v>700</v>
      </c>
      <c r="E22" s="9">
        <v>50</v>
      </c>
      <c r="F22" s="9" t="s">
        <v>28</v>
      </c>
      <c r="G22" s="8" t="str">
        <f>IF(ISBLANK(D22),"Missing Price","Price Present")</f>
        <v>Price Present</v>
      </c>
      <c r="H22" s="8">
        <f>IF(ISBLANK(D22),AVERAGEIF($F$2:$F$35,F22,$D$2:$D$35),D22)</f>
        <v>700</v>
      </c>
      <c r="I22" s="8" t="str">
        <f>IF(F22="","Unknown",F22)</f>
        <v>Electronics</v>
      </c>
      <c r="J22" s="8" t="str">
        <f>PROPER(B22)</f>
        <v>Camera</v>
      </c>
      <c r="K22" s="19" t="str">
        <f t="shared" si="0"/>
        <v>14-MAY-2026</v>
      </c>
      <c r="L22" s="8" t="str">
        <f t="shared" si="1"/>
        <v>RU</v>
      </c>
      <c r="M22" s="8" t="str">
        <f t="shared" si="2"/>
        <v>Nikon-Camera</v>
      </c>
    </row>
    <row r="23" spans="1:13" ht="32.5" customHeight="1" x14ac:dyDescent="0.25">
      <c r="A23" s="10" t="s">
        <v>88</v>
      </c>
      <c r="B23" s="10" t="s">
        <v>89</v>
      </c>
      <c r="C23" s="10" t="s">
        <v>90</v>
      </c>
      <c r="D23" s="15">
        <v>80</v>
      </c>
      <c r="E23" s="10">
        <v>20</v>
      </c>
      <c r="F23" s="10" t="s">
        <v>36</v>
      </c>
      <c r="G23" s="8" t="str">
        <f>IF(ISBLANK(D23),"Missing Price","Price Present")</f>
        <v>Price Present</v>
      </c>
      <c r="H23" s="8">
        <f>IF(ISBLANK(D23),AVERAGEIF($F$2:$F$35,F23,$D$2:$D$35),D23)</f>
        <v>80</v>
      </c>
      <c r="I23" s="8" t="str">
        <f>IF(F23="","Unknown",F23)</f>
        <v>Kitchen</v>
      </c>
      <c r="J23" s="8" t="str">
        <f>PROPER(B23)</f>
        <v>Microwave</v>
      </c>
      <c r="K23" s="19" t="str">
        <f t="shared" si="0"/>
        <v>09-JAN-2026</v>
      </c>
      <c r="L23" s="8" t="str">
        <f t="shared" si="1"/>
        <v>CA</v>
      </c>
      <c r="M23" s="8" t="str">
        <f t="shared" si="2"/>
        <v>Panasonic-Microwave</v>
      </c>
    </row>
    <row r="24" spans="1:13" ht="32.5" customHeight="1" x14ac:dyDescent="0.25">
      <c r="A24" s="9" t="s">
        <v>91</v>
      </c>
      <c r="B24" s="9" t="s">
        <v>92</v>
      </c>
      <c r="C24" s="9" t="s">
        <v>93</v>
      </c>
      <c r="D24" s="14">
        <v>150</v>
      </c>
      <c r="E24" s="9">
        <v>30</v>
      </c>
      <c r="F24" s="9"/>
      <c r="G24" s="8" t="str">
        <f>IF(ISBLANK(D24),"Missing Price","Price Present")</f>
        <v>Price Present</v>
      </c>
      <c r="H24" s="8">
        <f>IF(ISBLANK(D24),AVERAGEIF($F$2:$F$35,F24,$D$2:$D$35),D24)</f>
        <v>150</v>
      </c>
      <c r="I24" s="8" t="str">
        <f>IF(F24="","Unknown",F24)</f>
        <v>Unknown</v>
      </c>
      <c r="J24" s="8" t="str">
        <f>PROPER(B24)</f>
        <v>Fitness Tracker</v>
      </c>
      <c r="K24" s="19" t="str">
        <f t="shared" si="0"/>
        <v>19-JUL-2026</v>
      </c>
      <c r="L24" s="8" t="str">
        <f t="shared" si="1"/>
        <v>BR</v>
      </c>
      <c r="M24" s="8" t="str">
        <f t="shared" si="2"/>
        <v>Xiaomi-Fitness Tracker</v>
      </c>
    </row>
    <row r="25" spans="1:13" ht="32.5" customHeight="1" x14ac:dyDescent="0.25">
      <c r="A25" s="9" t="s">
        <v>94</v>
      </c>
      <c r="B25" s="9" t="s">
        <v>95</v>
      </c>
      <c r="C25" s="9" t="s">
        <v>96</v>
      </c>
      <c r="D25" s="14">
        <v>800</v>
      </c>
      <c r="E25" s="9">
        <v>45</v>
      </c>
      <c r="F25" s="9" t="s">
        <v>28</v>
      </c>
      <c r="G25" s="8" t="str">
        <f>IF(ISBLANK(D25),"Missing Price","Price Present")</f>
        <v>Price Present</v>
      </c>
      <c r="H25" s="8">
        <f>IF(ISBLANK(D25),AVERAGEIF($F$2:$F$35,F25,$D$2:$D$35),D25)</f>
        <v>800</v>
      </c>
      <c r="I25" s="8" t="str">
        <f>IF(F25="","Unknown",F25)</f>
        <v>Electronics</v>
      </c>
      <c r="J25" s="8" t="str">
        <f>PROPER(B25)</f>
        <v>Smartphone</v>
      </c>
      <c r="K25" s="19" t="str">
        <f t="shared" si="0"/>
        <v>29-SEP-2026</v>
      </c>
      <c r="L25" s="8" t="str">
        <f t="shared" si="1"/>
        <v>CA</v>
      </c>
      <c r="M25" s="8" t="str">
        <f t="shared" si="2"/>
        <v>Google-Smartphone</v>
      </c>
    </row>
    <row r="26" spans="1:13" ht="32.5" customHeight="1" x14ac:dyDescent="0.25">
      <c r="A26" s="10" t="s">
        <v>97</v>
      </c>
      <c r="B26" s="10" t="s">
        <v>80</v>
      </c>
      <c r="C26" s="10" t="s">
        <v>98</v>
      </c>
      <c r="D26" s="15"/>
      <c r="E26" s="10">
        <v>25</v>
      </c>
      <c r="F26" s="10" t="s">
        <v>32</v>
      </c>
      <c r="G26" s="8" t="str">
        <f>IF(ISBLANK(D26),"Missing Price","Price Present")</f>
        <v>Missing Price</v>
      </c>
      <c r="H26" s="8">
        <f>IF(ISBLANK(D26),AVERAGEIF($F$2:$F$35,F26,$D$2:$D$35),D26)</f>
        <v>74</v>
      </c>
      <c r="I26" s="8" t="str">
        <f>IF(F26="","Unknown",F26)</f>
        <v>Fashion</v>
      </c>
      <c r="J26" s="8" t="str">
        <f>PROPER(B26)</f>
        <v>Sunglasses</v>
      </c>
      <c r="K26" s="19" t="str">
        <f t="shared" si="0"/>
        <v>03-JUN-2026</v>
      </c>
      <c r="L26" s="8" t="str">
        <f t="shared" si="1"/>
        <v>CA</v>
      </c>
      <c r="M26" s="8" t="str">
        <f t="shared" si="2"/>
        <v>Ray-Ban-Sunglasses</v>
      </c>
    </row>
    <row r="27" spans="1:13" ht="32.5" customHeight="1" x14ac:dyDescent="0.25">
      <c r="A27" s="9" t="s">
        <v>99</v>
      </c>
      <c r="B27" s="9" t="s">
        <v>50</v>
      </c>
      <c r="C27" s="9" t="s">
        <v>100</v>
      </c>
      <c r="D27" s="14">
        <v>400</v>
      </c>
      <c r="E27" s="9">
        <v>40</v>
      </c>
      <c r="F27" s="9" t="s">
        <v>36</v>
      </c>
      <c r="G27" s="8" t="str">
        <f>IF(ISBLANK(D27),"Missing Price","Price Present")</f>
        <v>Price Present</v>
      </c>
      <c r="H27" s="8">
        <f>IF(ISBLANK(D27),AVERAGEIF($F$2:$F$35,F27,$D$2:$D$35),D27)</f>
        <v>400</v>
      </c>
      <c r="I27" s="8" t="str">
        <f>IF(F27="","Unknown",F27)</f>
        <v>Kitchen</v>
      </c>
      <c r="J27" s="8" t="str">
        <f>PROPER(B27)</f>
        <v>Blender</v>
      </c>
      <c r="K27" s="19" t="str">
        <f t="shared" si="0"/>
        <v>11-JUL-2026</v>
      </c>
      <c r="L27" s="8" t="str">
        <f t="shared" si="1"/>
        <v>CA</v>
      </c>
      <c r="M27" s="8" t="str">
        <f t="shared" si="2"/>
        <v>Vitamix-Blender</v>
      </c>
    </row>
    <row r="28" spans="1:13" ht="32.5" customHeight="1" x14ac:dyDescent="0.25">
      <c r="A28" s="9" t="s">
        <v>101</v>
      </c>
      <c r="B28" s="9" t="s">
        <v>102</v>
      </c>
      <c r="C28" s="9" t="s">
        <v>103</v>
      </c>
      <c r="D28" s="14">
        <v>60</v>
      </c>
      <c r="E28" s="9">
        <v>30</v>
      </c>
      <c r="F28" s="9" t="s">
        <v>32</v>
      </c>
      <c r="G28" s="8" t="str">
        <f>IF(ISBLANK(D28),"Missing Price","Price Present")</f>
        <v>Price Present</v>
      </c>
      <c r="H28" s="8">
        <f>IF(ISBLANK(D28),AVERAGEIF($F$2:$F$35,F28,$D$2:$D$35),D28)</f>
        <v>60</v>
      </c>
      <c r="I28" s="8" t="str">
        <f>IF(F28="","Unknown",F28)</f>
        <v>Fashion</v>
      </c>
      <c r="J28" s="8" t="str">
        <f>PROPER(B28)</f>
        <v>Dress</v>
      </c>
      <c r="K28" s="19" t="str">
        <f t="shared" si="0"/>
        <v>07-MAR-2026</v>
      </c>
      <c r="L28" s="8" t="str">
        <f t="shared" si="1"/>
        <v>CA</v>
      </c>
      <c r="M28" s="8" t="str">
        <f t="shared" si="2"/>
        <v>Zara-Dress</v>
      </c>
    </row>
    <row r="29" spans="1:13" ht="32.5" customHeight="1" x14ac:dyDescent="0.25">
      <c r="A29" s="10" t="s">
        <v>104</v>
      </c>
      <c r="B29" s="10" t="s">
        <v>105</v>
      </c>
      <c r="C29" s="10" t="s">
        <v>106</v>
      </c>
      <c r="D29" s="15">
        <v>40</v>
      </c>
      <c r="E29" s="10">
        <v>10</v>
      </c>
      <c r="F29" s="10" t="s">
        <v>36</v>
      </c>
      <c r="G29" s="8" t="str">
        <f>IF(ISBLANK(D29),"Missing Price","Price Present")</f>
        <v>Price Present</v>
      </c>
      <c r="H29" s="8">
        <f>IF(ISBLANK(D29),AVERAGEIF($F$2:$F$35,F29,$D$2:$D$35),D29)</f>
        <v>40</v>
      </c>
      <c r="I29" s="8" t="str">
        <f>IF(F29="","Unknown",F29)</f>
        <v>Kitchen</v>
      </c>
      <c r="J29" s="8" t="str">
        <f>PROPER(B29)</f>
        <v>Toaster</v>
      </c>
      <c r="K29" s="19" t="str">
        <f t="shared" si="0"/>
        <v>13-APR-2026</v>
      </c>
      <c r="L29" s="8" t="str">
        <f t="shared" si="1"/>
        <v>CA</v>
      </c>
      <c r="M29" s="8" t="str">
        <f t="shared" si="2"/>
        <v>Hamilton-Toaster</v>
      </c>
    </row>
    <row r="30" spans="1:13" ht="32.5" customHeight="1" x14ac:dyDescent="0.25">
      <c r="A30" s="9" t="s">
        <v>107</v>
      </c>
      <c r="B30" s="9" t="s">
        <v>92</v>
      </c>
      <c r="C30" s="9" t="s">
        <v>108</v>
      </c>
      <c r="D30" s="14">
        <v>130</v>
      </c>
      <c r="E30" s="9">
        <v>5</v>
      </c>
      <c r="F30" s="9" t="s">
        <v>28</v>
      </c>
      <c r="G30" s="8" t="str">
        <f>IF(ISBLANK(D30),"Missing Price","Price Present")</f>
        <v>Price Present</v>
      </c>
      <c r="H30" s="8">
        <f>IF(ISBLANK(D30),AVERAGEIF($F$2:$F$35,F30,$D$2:$D$35),D30)</f>
        <v>130</v>
      </c>
      <c r="I30" s="8" t="str">
        <f>IF(F30="","Unknown",F30)</f>
        <v>Electronics</v>
      </c>
      <c r="J30" s="8" t="str">
        <f>PROPER(B30)</f>
        <v>Fitness Tracker</v>
      </c>
      <c r="K30" s="19" t="str">
        <f t="shared" si="0"/>
        <v>24-MAY-2026</v>
      </c>
      <c r="L30" s="8" t="str">
        <f t="shared" si="1"/>
        <v>CA</v>
      </c>
      <c r="M30" s="8" t="str">
        <f t="shared" si="2"/>
        <v>Garmin-Fitness Tracker</v>
      </c>
    </row>
    <row r="31" spans="1:13" ht="32.5" customHeight="1" x14ac:dyDescent="0.25">
      <c r="A31" s="10" t="s">
        <v>109</v>
      </c>
      <c r="B31" s="10" t="s">
        <v>110</v>
      </c>
      <c r="C31" s="10" t="s">
        <v>111</v>
      </c>
      <c r="D31" s="15">
        <v>50</v>
      </c>
      <c r="E31" s="10">
        <v>50</v>
      </c>
      <c r="F31" s="10" t="s">
        <v>32</v>
      </c>
      <c r="G31" s="8" t="str">
        <f>IF(ISBLANK(D31),"Missing Price","Price Present")</f>
        <v>Price Present</v>
      </c>
      <c r="H31" s="8">
        <f>IF(ISBLANK(D31),AVERAGEIF($F$2:$F$35,F31,$D$2:$D$35),D31)</f>
        <v>50</v>
      </c>
      <c r="I31" s="8" t="str">
        <f>IF(F31="","Unknown",F31)</f>
        <v>Fashion</v>
      </c>
      <c r="J31" s="8" t="str">
        <f>PROPER(B31)</f>
        <v>Jeans</v>
      </c>
      <c r="K31" s="19" t="str">
        <f t="shared" si="0"/>
        <v>02-DEC-2026</v>
      </c>
      <c r="L31" s="8" t="str">
        <f t="shared" si="1"/>
        <v>CA</v>
      </c>
      <c r="M31" s="8" t="str">
        <f t="shared" si="2"/>
        <v>Levi's-Jeans</v>
      </c>
    </row>
    <row r="32" spans="1:13" ht="32.5" customHeight="1" x14ac:dyDescent="0.25">
      <c r="A32" s="10" t="s">
        <v>112</v>
      </c>
      <c r="B32" s="10" t="s">
        <v>113</v>
      </c>
      <c r="C32" s="10" t="s">
        <v>114</v>
      </c>
      <c r="D32" s="15">
        <v>100</v>
      </c>
      <c r="E32" s="10">
        <v>20</v>
      </c>
      <c r="F32" s="10" t="s">
        <v>74</v>
      </c>
      <c r="G32" s="8" t="str">
        <f>IF(ISBLANK(D32),"Missing Price","Price Present")</f>
        <v>Price Present</v>
      </c>
      <c r="H32" s="8">
        <f>IF(ISBLANK(D32),AVERAGEIF($F$2:$F$35,F32,$D$2:$D$35),D32)</f>
        <v>100</v>
      </c>
      <c r="I32" s="8" t="str">
        <f>IF(F32="","Unknown",F32)</f>
        <v>Accessories</v>
      </c>
      <c r="J32" s="8" t="str">
        <f>PROPER(B32)</f>
        <v>Watch</v>
      </c>
      <c r="K32" s="19" t="str">
        <f t="shared" si="0"/>
        <v>09-JUL-2026</v>
      </c>
      <c r="L32" s="8" t="str">
        <f t="shared" si="1"/>
        <v>FR</v>
      </c>
      <c r="M32" s="8" t="str">
        <f t="shared" si="2"/>
        <v>Casio-Watch</v>
      </c>
    </row>
    <row r="33" spans="1:10" ht="32.5" customHeight="1" x14ac:dyDescent="0.25">
      <c r="A33"/>
      <c r="B33"/>
      <c r="C33"/>
      <c r="D33" s="16"/>
      <c r="E33"/>
      <c r="F33"/>
      <c r="G33"/>
      <c r="H33"/>
      <c r="I33"/>
      <c r="J33"/>
    </row>
    <row r="34" spans="1:10" ht="32.5" customHeight="1" x14ac:dyDescent="0.25">
      <c r="A34"/>
      <c r="B34"/>
      <c r="C34"/>
      <c r="D34" s="16"/>
      <c r="E34"/>
      <c r="F34"/>
      <c r="G34"/>
      <c r="H34"/>
      <c r="I34"/>
      <c r="J34"/>
    </row>
    <row r="35" spans="1:10" ht="32.5" customHeight="1" x14ac:dyDescent="0.25">
      <c r="A35"/>
      <c r="B35"/>
      <c r="C35"/>
      <c r="D35" s="16"/>
      <c r="E35"/>
      <c r="F35"/>
      <c r="G35"/>
      <c r="H35"/>
      <c r="I35"/>
      <c r="J35"/>
    </row>
  </sheetData>
  <autoFilter ref="A1:F35" xr:uid="{00000000-0001-0000-0100-000000000000}"/>
  <conditionalFormatting sqref="D1:D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{C7F885D9-40EB-4D7A-846B-A4C3A71388A4}</x14:id>
        </ext>
      </extLst>
    </cfRule>
  </conditionalFormatting>
  <conditionalFormatting sqref="H1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F885D9-40EB-4D7A-846B-A4C3A7138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Aiswarya B R</cp:lastModifiedBy>
  <dcterms:created xsi:type="dcterms:W3CDTF">2026-10-27T14:24:29Z</dcterms:created>
  <dcterms:modified xsi:type="dcterms:W3CDTF">2026-10-27T14:24:29Z</dcterms:modified>
</cp:coreProperties>
</file>